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eron\Desktop\"/>
    </mc:Choice>
  </mc:AlternateContent>
  <xr:revisionPtr revIDLastSave="0" documentId="8_{8F3578AA-FF0F-4B07-9893-84FB6A14D5A4}" xr6:coauthVersionLast="47" xr6:coauthVersionMax="47" xr10:uidLastSave="{00000000-0000-0000-0000-000000000000}"/>
  <bookViews>
    <workbookView xWindow="-120" yWindow="-120" windowWidth="20730" windowHeight="11040" xr2:uid="{986F71AD-DD91-44FD-8681-3BBAE707547F}"/>
  </bookViews>
  <sheets>
    <sheet name="Receitas Publicas x Priv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J18" i="1"/>
  <c r="J17" i="1"/>
  <c r="J13" i="1"/>
  <c r="J14" i="1"/>
  <c r="J15" i="1"/>
  <c r="J12" i="1"/>
  <c r="G18" i="1"/>
  <c r="G17" i="1"/>
  <c r="G13" i="1"/>
  <c r="G14" i="1"/>
  <c r="G15" i="1"/>
  <c r="G12" i="1"/>
  <c r="D18" i="1"/>
  <c r="D17" i="1"/>
  <c r="D13" i="1"/>
  <c r="D14" i="1"/>
  <c r="D15" i="1"/>
  <c r="D12" i="1"/>
  <c r="I19" i="1"/>
  <c r="H19" i="1"/>
  <c r="F19" i="1"/>
  <c r="E19" i="1"/>
  <c r="C19" i="1"/>
  <c r="I16" i="1"/>
  <c r="H16" i="1"/>
  <c r="F16" i="1"/>
  <c r="E16" i="1"/>
  <c r="C16" i="1"/>
  <c r="G19" i="1" l="1"/>
  <c r="J16" i="1"/>
  <c r="D19" i="1"/>
  <c r="J19" i="1"/>
  <c r="G16" i="1"/>
  <c r="D16" i="1"/>
</calcChain>
</file>

<file path=xl/sharedStrings.xml><?xml version="1.0" encoding="utf-8"?>
<sst xmlns="http://schemas.openxmlformats.org/spreadsheetml/2006/main" count="20" uniqueCount="16">
  <si>
    <t>DESCRIÇÃO</t>
  </si>
  <si>
    <t>RECEITA</t>
  </si>
  <si>
    <t>Percentual</t>
  </si>
  <si>
    <t>Convênios Privados</t>
  </si>
  <si>
    <t>Pacientes Particulares</t>
  </si>
  <si>
    <t>Outros Serviços de Saúde</t>
  </si>
  <si>
    <t>Receitas Financeiras</t>
  </si>
  <si>
    <t>RECEITAS PRIVADAS</t>
  </si>
  <si>
    <t>Convênios SUS</t>
  </si>
  <si>
    <t>Subvenção e Convênios para Custeio</t>
  </si>
  <si>
    <t>RECEITAS PÚBLICAS</t>
  </si>
  <si>
    <t>Receita Bruta TOTAL 2024</t>
  </si>
  <si>
    <t>Receita Bruta TOTAL 2023</t>
  </si>
  <si>
    <t>Receita Bruta TOTAL 2022</t>
  </si>
  <si>
    <t>VALOR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</si>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</sst>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;\(\-#,##0.00\)"/>
    <numFmt numFmtId="165" formatCode="_-* #,##0_-;\-* #,##0_-;_-* &quot;-&quot;??_-;_-@_-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2" applyNumberFormat="1" applyFont="1"/>
    <xf numFmtId="164" fontId="2" fillId="0" borderId="0" xfId="2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0" fillId="0" borderId="0" xfId="1" applyNumberFormat="1" applyFont="1"/>
    <xf numFmtId="166" fontId="0" fillId="0" borderId="0" xfId="3" applyNumberFormat="1" applyFont="1"/>
    <xf numFmtId="0" fontId="4" fillId="0" borderId="0" xfId="0" applyFont="1"/>
    <xf numFmtId="165" fontId="4" fillId="0" borderId="0" xfId="1" applyNumberFormat="1" applyFont="1"/>
    <xf numFmtId="9" fontId="4" fillId="0" borderId="0" xfId="3" applyFont="1"/>
    <xf numFmtId="0" fontId="2" fillId="0" borderId="0" xfId="0" applyFont="1" applyAlignment="1"/>
    <xf numFmtId="0" fontId="0" fillId="0" borderId="0" xfId="0" applyFont="1"/>
    <xf numFmtId="165" fontId="4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</xdr:row>
      <xdr:rowOff>152400</xdr:rowOff>
    </xdr:to>
    <xdr:sp macro="" textlink="">
      <xdr:nvSpPr>
        <xdr:cNvPr id="2" name="Fluxograma: Documento 1">
          <a:extLst>
            <a:ext uri="{FF2B5EF4-FFF2-40B4-BE49-F238E27FC236}">
              <a16:creationId xmlns:a16="http://schemas.microsoft.com/office/drawing/2014/main" id="{F0EE18E5-C06E-44CF-8E73-DF7A6727020E}"/>
            </a:ext>
          </a:extLst>
        </xdr:cNvPr>
        <xdr:cNvSpPr/>
      </xdr:nvSpPr>
      <xdr:spPr>
        <a:xfrm>
          <a:off x="0" y="0"/>
          <a:ext cx="9182100" cy="1009650"/>
        </a:xfrm>
        <a:prstGeom prst="flowChartDocument">
          <a:avLst/>
        </a:prstGeom>
        <a:solidFill>
          <a:srgbClr val="0070C0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1523999</xdr:colOff>
      <xdr:row>0</xdr:row>
      <xdr:rowOff>0</xdr:rowOff>
    </xdr:from>
    <xdr:to>
      <xdr:col>9</xdr:col>
      <xdr:colOff>266699</xdr:colOff>
      <xdr:row>0</xdr:row>
      <xdr:rowOff>238125</xdr:rowOff>
    </xdr:to>
    <xdr:sp macro="" textlink="">
      <xdr:nvSpPr>
        <xdr:cNvPr id="4" name="Caixa de texto 52">
          <a:extLst>
            <a:ext uri="{FF2B5EF4-FFF2-40B4-BE49-F238E27FC236}">
              <a16:creationId xmlns:a16="http://schemas.microsoft.com/office/drawing/2014/main" id="{B8767738-61AF-491B-9E80-5467EDBC3DA4}"/>
            </a:ext>
          </a:extLst>
        </xdr:cNvPr>
        <xdr:cNvSpPr txBox="1">
          <a:spLocks noChangeArrowheads="1"/>
        </xdr:cNvSpPr>
      </xdr:nvSpPr>
      <xdr:spPr bwMode="auto">
        <a:xfrm>
          <a:off x="1724024" y="0"/>
          <a:ext cx="5419725" cy="238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E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21212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36576" tIns="36576" rIns="36576" bIns="36576" anchor="ctr" anchorCtr="0" upright="1">
          <a:noAutofit/>
        </a:bodyPr>
        <a:lstStyle/>
        <a:p>
          <a:pPr algn="ctr">
            <a:lnSpc>
              <a:spcPts val="10200"/>
            </a:lnSpc>
            <a:spcAft>
              <a:spcPts val="0"/>
            </a:spcAft>
          </a:pPr>
          <a:r>
            <a:rPr lang="pt-BR" sz="3200" b="0">
              <a:solidFill>
                <a:schemeClr val="bg1"/>
              </a:solidFill>
              <a:effectLst/>
              <a:latin typeface="+mn-lt"/>
              <a:ea typeface="SimHei" panose="02010609060101010101" pitchFamily="49" charset="-122"/>
              <a:cs typeface="Times New Roman" panose="02020603050405020304" pitchFamily="18" charset="0"/>
            </a:rPr>
            <a:t>Demonstrativo</a:t>
          </a:r>
          <a:r>
            <a:rPr lang="pt-BR" sz="3200" b="0" baseline="0">
              <a:solidFill>
                <a:schemeClr val="bg1"/>
              </a:solidFill>
              <a:effectLst/>
              <a:latin typeface="+mn-lt"/>
              <a:ea typeface="SimHei" panose="02010609060101010101" pitchFamily="49" charset="-122"/>
              <a:cs typeface="Times New Roman" panose="02020603050405020304" pitchFamily="18" charset="0"/>
            </a:rPr>
            <a:t> de Receitas</a:t>
          </a:r>
          <a:endParaRPr lang="pt-BR" sz="3200" b="0">
            <a:solidFill>
              <a:schemeClr val="bg1"/>
            </a:solidFill>
            <a:effectLst/>
            <a:latin typeface="+mn-lt"/>
            <a:ea typeface="SimHei" panose="02010609060101010101" pitchFamily="49" charset="-122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0</xdr:colOff>
      <xdr:row>42</xdr:row>
      <xdr:rowOff>0</xdr:rowOff>
    </xdr:from>
    <xdr:ext cx="1822807" cy="655949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B8B0670-F1F1-45F1-9A5A-19F6CF076366}"/>
            </a:ext>
          </a:extLst>
        </xdr:cNvPr>
        <xdr:cNvSpPr txBox="1"/>
      </xdr:nvSpPr>
      <xdr:spPr>
        <a:xfrm>
          <a:off x="352425" y="9334500"/>
          <a:ext cx="1822807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Carlos Magno Castro Alves</a:t>
          </a:r>
        </a:p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Presidente da AISI</a:t>
          </a:r>
        </a:p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CPF 254.525.686-20</a:t>
          </a:r>
        </a:p>
      </xdr:txBody>
    </xdr:sp>
    <xdr:clientData/>
  </xdr:oneCellAnchor>
  <xdr:oneCellAnchor>
    <xdr:from>
      <xdr:col>2</xdr:col>
      <xdr:colOff>5145105</xdr:colOff>
      <xdr:row>42</xdr:row>
      <xdr:rowOff>27455</xdr:rowOff>
    </xdr:from>
    <xdr:ext cx="2101987" cy="655949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CCFF668-E510-42F6-AB6A-A8584DF133A8}"/>
            </a:ext>
          </a:extLst>
        </xdr:cNvPr>
        <xdr:cNvSpPr txBox="1"/>
      </xdr:nvSpPr>
      <xdr:spPr>
        <a:xfrm>
          <a:off x="5497530" y="9361955"/>
          <a:ext cx="2101987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Anderson Eron da Silva</a:t>
          </a:r>
        </a:p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Contador CRC-MG 122805/O-0</a:t>
          </a:r>
        </a:p>
        <a:p>
          <a:pPr algn="ctr"/>
          <a:r>
            <a:rPr lang="pt-BR" sz="1200">
              <a:latin typeface="Aptos Narrow" panose="020B0004020202020204" pitchFamily="34" charset="0"/>
              <a:cs typeface="Arial" panose="020B0604020202020204" pitchFamily="34" charset="0"/>
            </a:rPr>
            <a:t>CPF 016.646.596-84</a:t>
          </a:r>
        </a:p>
      </xdr:txBody>
    </xdr:sp>
    <xdr:clientData/>
  </xdr:oneCellAnchor>
  <xdr:twoCellAnchor>
    <xdr:from>
      <xdr:col>2</xdr:col>
      <xdr:colOff>914400</xdr:colOff>
      <xdr:row>0</xdr:row>
      <xdr:rowOff>619125</xdr:rowOff>
    </xdr:from>
    <xdr:to>
      <xdr:col>11</xdr:col>
      <xdr:colOff>347943</xdr:colOff>
      <xdr:row>1</xdr:row>
      <xdr:rowOff>456640</xdr:rowOff>
    </xdr:to>
    <xdr:sp macro="" textlink="">
      <xdr:nvSpPr>
        <xdr:cNvPr id="8" name="Caixa de texto 60">
          <a:extLst>
            <a:ext uri="{FF2B5EF4-FFF2-40B4-BE49-F238E27FC236}">
              <a16:creationId xmlns:a16="http://schemas.microsoft.com/office/drawing/2014/main" id="{F94BE8FA-6E79-42BA-8C01-BF9038E2BBD1}"/>
            </a:ext>
          </a:extLst>
        </xdr:cNvPr>
        <xdr:cNvSpPr txBox="1">
          <a:spLocks noChangeArrowheads="1"/>
        </xdr:cNvSpPr>
      </xdr:nvSpPr>
      <xdr:spPr bwMode="auto">
        <a:xfrm>
          <a:off x="3381375" y="619125"/>
          <a:ext cx="5539068" cy="6947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E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21212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36576" tIns="36576" rIns="36576" bIns="36576" anchor="ctr" anchorCtr="0" upright="1">
          <a:noAutofit/>
        </a:bodyPr>
        <a:lstStyle/>
        <a:p>
          <a:pPr algn="r">
            <a:lnSpc>
              <a:spcPts val="9550"/>
            </a:lnSpc>
            <a:spcAft>
              <a:spcPts val="0"/>
            </a:spcAft>
          </a:pPr>
          <a:r>
            <a:rPr lang="pt-BR" sz="2400" i="1" spc="0" baseline="0">
              <a:solidFill>
                <a:srgbClr val="0070C0"/>
              </a:solidFill>
              <a:effectLst/>
              <a:latin typeface="Times New Roman" panose="02020603050405020304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Exercícios 2022, 2023 e 2024</a:t>
          </a:r>
        </a:p>
      </xdr:txBody>
    </xdr:sp>
    <xdr:clientData/>
  </xdr:twoCellAnchor>
  <xdr:twoCellAnchor editAs="oneCell">
    <xdr:from>
      <xdr:col>0</xdr:col>
      <xdr:colOff>161925</xdr:colOff>
      <xdr:row>0</xdr:row>
      <xdr:rowOff>171450</xdr:rowOff>
    </xdr:from>
    <xdr:to>
      <xdr:col>1</xdr:col>
      <xdr:colOff>1429870</xdr:colOff>
      <xdr:row>0</xdr:row>
      <xdr:rowOff>771595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E4DFD23-8764-4DE0-AF63-AC1437EA1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1450"/>
          <a:ext cx="1467970" cy="600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77D0-B37D-4537-9643-A5CD9B40A026}">
  <dimension ref="A1:N39"/>
  <sheetViews>
    <sheetView showGridLines="0" tabSelected="1" workbookViewId="0">
      <selection activeCell="G5" sqref="G5"/>
    </sheetView>
  </sheetViews>
  <sheetFormatPr defaultColWidth="0" defaultRowHeight="15" x14ac:dyDescent="0.25"/>
  <cols>
    <col min="1" max="1" width="3" customWidth="1"/>
    <col min="2" max="2" width="34" bestFit="1" customWidth="1"/>
    <col min="3" max="3" width="14" bestFit="1" customWidth="1"/>
    <col min="4" max="4" width="10.7109375" bestFit="1" customWidth="1"/>
    <col min="5" max="5" width="2.85546875" customWidth="1"/>
    <col min="6" max="6" width="12.7109375" bestFit="1" customWidth="1"/>
    <col min="7" max="7" width="10.7109375" bestFit="1" customWidth="1"/>
    <col min="8" max="8" width="2.42578125" customWidth="1"/>
    <col min="9" max="9" width="12.7109375" bestFit="1" customWidth="1"/>
    <col min="10" max="11" width="10.7109375" bestFit="1" customWidth="1"/>
    <col min="12" max="12" width="9.140625" customWidth="1"/>
    <col min="13" max="13" width="12.7109375" hidden="1"/>
    <col min="14" max="14" width="10.7109375" hidden="1"/>
    <col min="15" max="16384" width="9.140625" hidden="1"/>
  </cols>
  <sheetData>
    <row r="1" spans="2:10" ht="67.5" customHeight="1" x14ac:dyDescent="0.25"/>
    <row r="2" spans="2:10" ht="67.5" customHeight="1" x14ac:dyDescent="0.25"/>
    <row r="3" spans="2:10" x14ac:dyDescent="0.25">
      <c r="C3" s="1"/>
      <c r="D3" s="1"/>
      <c r="E3" s="1"/>
    </row>
    <row r="4" spans="2:10" x14ac:dyDescent="0.25">
      <c r="B4" s="13" t="s">
        <v>0</v>
      </c>
      <c r="C4" s="13" t="s">
        <v>14</v>
      </c>
      <c r="D4" s="13"/>
    </row>
    <row r="5" spans="2:10" x14ac:dyDescent="0.25">
      <c r="B5" s="14" t="s">
        <v>11</v>
      </c>
      <c r="C5" s="8">
        <v>173598672</v>
      </c>
    </row>
    <row r="6" spans="2:10" x14ac:dyDescent="0.25">
      <c r="B6" s="14" t="s">
        <v>12</v>
      </c>
      <c r="C6" s="8">
        <v>109475474</v>
      </c>
    </row>
    <row r="7" spans="2:10" x14ac:dyDescent="0.25">
      <c r="B7" s="14" t="s">
        <v>13</v>
      </c>
      <c r="C7" s="8">
        <v>107404178</v>
      </c>
    </row>
    <row r="8" spans="2:10" ht="15.75" x14ac:dyDescent="0.25">
      <c r="B8" s="10" t="s">
        <v>15</v>
      </c>
      <c r="C8" s="15">
        <f>SUM(C5:C7)</f>
        <v>390478324</v>
      </c>
    </row>
    <row r="10" spans="2:10" x14ac:dyDescent="0.25">
      <c r="C10" s="7" t="s">
        <v>1</v>
      </c>
      <c r="D10" s="7" t="s">
        <v>2</v>
      </c>
      <c r="F10" s="7" t="s">
        <v>1</v>
      </c>
      <c r="G10" s="7" t="s">
        <v>2</v>
      </c>
      <c r="I10" s="7" t="s">
        <v>1</v>
      </c>
      <c r="J10" s="7" t="s">
        <v>2</v>
      </c>
    </row>
    <row r="11" spans="2:10" x14ac:dyDescent="0.25">
      <c r="C11" s="6">
        <v>2024</v>
      </c>
      <c r="D11" s="6"/>
      <c r="F11" s="6">
        <v>2023</v>
      </c>
      <c r="G11" s="6"/>
      <c r="I11" s="6">
        <v>2022</v>
      </c>
      <c r="J11" s="6"/>
    </row>
    <row r="12" spans="2:10" x14ac:dyDescent="0.25">
      <c r="B12" t="s">
        <v>3</v>
      </c>
      <c r="C12" s="8">
        <v>21962882</v>
      </c>
      <c r="D12" s="9">
        <f>+C12/$C$5</f>
        <v>0.12651526504764968</v>
      </c>
      <c r="F12" s="8">
        <v>22980401</v>
      </c>
      <c r="G12" s="9">
        <f>+F12/$C$6</f>
        <v>0.20991369263219631</v>
      </c>
      <c r="I12" s="8">
        <v>19759098</v>
      </c>
      <c r="J12" s="9">
        <f>+I12/$C$7</f>
        <v>0.18396954725541495</v>
      </c>
    </row>
    <row r="13" spans="2:10" x14ac:dyDescent="0.25">
      <c r="B13" t="s">
        <v>4</v>
      </c>
      <c r="C13" s="8">
        <v>6100052</v>
      </c>
      <c r="D13" s="9">
        <f>+C13/$C$5</f>
        <v>3.5138817190951785E-2</v>
      </c>
      <c r="F13" s="8">
        <v>3616363</v>
      </c>
      <c r="G13" s="9">
        <f>+F13/$C$6</f>
        <v>3.3033545029455637E-2</v>
      </c>
      <c r="I13" s="8">
        <v>3577398</v>
      </c>
      <c r="J13" s="9">
        <f>+I13/$C$7</f>
        <v>3.3307810428007747E-2</v>
      </c>
    </row>
    <row r="14" spans="2:10" x14ac:dyDescent="0.25">
      <c r="B14" t="s">
        <v>5</v>
      </c>
      <c r="C14" s="8">
        <v>1471395</v>
      </c>
      <c r="D14" s="9">
        <f>+C14/$C$5</f>
        <v>8.4758424880116597E-3</v>
      </c>
      <c r="F14" s="8">
        <v>11999</v>
      </c>
      <c r="G14" s="9">
        <f>+F14/$C$6</f>
        <v>1.0960445807249942E-4</v>
      </c>
      <c r="I14" s="8">
        <v>171594</v>
      </c>
      <c r="J14" s="9">
        <f>+I14/$C$7</f>
        <v>1.5976473466423253E-3</v>
      </c>
    </row>
    <row r="15" spans="2:10" x14ac:dyDescent="0.25">
      <c r="B15" t="s">
        <v>6</v>
      </c>
      <c r="C15" s="8">
        <v>786319</v>
      </c>
      <c r="D15" s="9">
        <f>+C15/$C$5</f>
        <v>4.5295219769883955E-3</v>
      </c>
      <c r="F15" s="8">
        <v>774703</v>
      </c>
      <c r="G15" s="9">
        <f>+F15/$C$6</f>
        <v>7.0764982483656567E-3</v>
      </c>
      <c r="I15" s="8">
        <v>2779408</v>
      </c>
      <c r="J15" s="9">
        <f>+I15/$C$7</f>
        <v>2.5878024968451412E-2</v>
      </c>
    </row>
    <row r="16" spans="2:10" ht="15.75" x14ac:dyDescent="0.25">
      <c r="B16" s="10" t="s">
        <v>7</v>
      </c>
      <c r="C16" s="11">
        <f>SUM(C12:C15)</f>
        <v>30320648</v>
      </c>
      <c r="D16" s="12">
        <f t="shared" ref="D16:J16" si="0">SUM(D12:D15)</f>
        <v>0.17465944670360151</v>
      </c>
      <c r="E16" s="11">
        <f t="shared" si="0"/>
        <v>0</v>
      </c>
      <c r="F16" s="11">
        <f t="shared" si="0"/>
        <v>27383466</v>
      </c>
      <c r="G16" s="12">
        <f t="shared" si="0"/>
        <v>0.2501333403680901</v>
      </c>
      <c r="H16" s="11">
        <f t="shared" si="0"/>
        <v>0</v>
      </c>
      <c r="I16" s="11">
        <f t="shared" si="0"/>
        <v>26287498</v>
      </c>
      <c r="J16" s="12">
        <f t="shared" si="0"/>
        <v>0.24475302999851645</v>
      </c>
    </row>
    <row r="17" spans="2:10" x14ac:dyDescent="0.25">
      <c r="B17" t="s">
        <v>8</v>
      </c>
      <c r="C17" s="8">
        <v>70485730</v>
      </c>
      <c r="D17" s="9">
        <f>+C17/$C$5</f>
        <v>0.40602689633478301</v>
      </c>
      <c r="F17" s="8">
        <v>43751197</v>
      </c>
      <c r="G17" s="9">
        <f>+F17/$C$6</f>
        <v>0.39964382341929844</v>
      </c>
      <c r="I17" s="8">
        <v>39368122</v>
      </c>
      <c r="J17" s="9">
        <f>+I17/$C$7</f>
        <v>0.3665418118092203</v>
      </c>
    </row>
    <row r="18" spans="2:10" x14ac:dyDescent="0.25">
      <c r="B18" t="s">
        <v>9</v>
      </c>
      <c r="C18" s="8">
        <v>72792295</v>
      </c>
      <c r="D18" s="9">
        <f>+C18/$C$5</f>
        <v>0.41931366272202819</v>
      </c>
      <c r="F18" s="8">
        <v>38126197</v>
      </c>
      <c r="G18" s="9">
        <f>+F18/$C$6</f>
        <v>0.34826245191685584</v>
      </c>
      <c r="I18" s="8">
        <v>41406548</v>
      </c>
      <c r="J18" s="9">
        <f>+I18/$C$7</f>
        <v>0.38552083141495669</v>
      </c>
    </row>
    <row r="19" spans="2:10" ht="15.75" x14ac:dyDescent="0.25">
      <c r="B19" s="10" t="s">
        <v>10</v>
      </c>
      <c r="C19" s="11">
        <f>SUM(C17:C18)</f>
        <v>143278025</v>
      </c>
      <c r="D19" s="12">
        <f t="shared" ref="D19:I19" si="1">SUM(D17:D18)</f>
        <v>0.82534055905681125</v>
      </c>
      <c r="E19" s="11">
        <f t="shared" si="1"/>
        <v>0</v>
      </c>
      <c r="F19" s="11">
        <f t="shared" si="1"/>
        <v>81877394</v>
      </c>
      <c r="G19" s="12">
        <f t="shared" si="1"/>
        <v>0.74790627533615428</v>
      </c>
      <c r="H19" s="11">
        <f t="shared" si="1"/>
        <v>0</v>
      </c>
      <c r="I19" s="11">
        <f t="shared" si="1"/>
        <v>80774670</v>
      </c>
      <c r="J19" s="12">
        <f>SUM(J17:J18)</f>
        <v>0.75206264322417704</v>
      </c>
    </row>
    <row r="20" spans="2:10" x14ac:dyDescent="0.25">
      <c r="D20" s="3"/>
    </row>
    <row r="21" spans="2:10" x14ac:dyDescent="0.25">
      <c r="D21" s="3"/>
    </row>
    <row r="22" spans="2:10" x14ac:dyDescent="0.25">
      <c r="D22" s="3"/>
    </row>
    <row r="23" spans="2:10" x14ac:dyDescent="0.25">
      <c r="D23" s="3"/>
    </row>
    <row r="24" spans="2:10" x14ac:dyDescent="0.25">
      <c r="D24" s="3"/>
    </row>
    <row r="25" spans="2:10" x14ac:dyDescent="0.25">
      <c r="D25" s="3"/>
    </row>
    <row r="26" spans="2:10" x14ac:dyDescent="0.25">
      <c r="D26" s="3"/>
    </row>
    <row r="27" spans="2:10" x14ac:dyDescent="0.25">
      <c r="D27" s="3"/>
    </row>
    <row r="28" spans="2:10" x14ac:dyDescent="0.25">
      <c r="D28" s="3"/>
    </row>
    <row r="29" spans="2:10" x14ac:dyDescent="0.25">
      <c r="C29" s="2"/>
      <c r="D29" s="4"/>
    </row>
    <row r="30" spans="2:10" x14ac:dyDescent="0.25">
      <c r="C30" s="2"/>
      <c r="D30" s="4"/>
    </row>
    <row r="31" spans="2:10" x14ac:dyDescent="0.25">
      <c r="C31" s="2"/>
      <c r="D31" s="4"/>
    </row>
    <row r="32" spans="2:10" x14ac:dyDescent="0.25">
      <c r="D32" s="3"/>
    </row>
    <row r="33" spans="3:4" x14ac:dyDescent="0.25">
      <c r="D33" s="3"/>
    </row>
    <row r="34" spans="3:4" x14ac:dyDescent="0.25">
      <c r="D34" s="3"/>
    </row>
    <row r="35" spans="3:4" x14ac:dyDescent="0.25">
      <c r="C35" s="2"/>
      <c r="D35" s="4"/>
    </row>
    <row r="36" spans="3:4" x14ac:dyDescent="0.25">
      <c r="C36" s="2"/>
      <c r="D36" s="4"/>
    </row>
    <row r="37" spans="3:4" x14ac:dyDescent="0.25">
      <c r="C37" s="2"/>
      <c r="D37" s="4"/>
    </row>
    <row r="38" spans="3:4" x14ac:dyDescent="0.25">
      <c r="D38" s="3"/>
    </row>
    <row r="39" spans="3:4" x14ac:dyDescent="0.25">
      <c r="C39" s="5"/>
    </row>
  </sheetData>
  <mergeCells count="3">
    <mergeCell ref="I11:J11"/>
    <mergeCell ref="C11:D11"/>
    <mergeCell ref="F11:G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 Publicas x Privadas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Eron da Silva</dc:creator>
  <cp:lastModifiedBy>Anderson Eron da Silva</cp:lastModifiedBy>
  <dcterms:created xsi:type="dcterms:W3CDTF">2025-12-03T13:22:26Z</dcterms:created>
  <dcterms:modified xsi:type="dcterms:W3CDTF">2025-12-03T13:33:33Z</dcterms:modified>
</cp:coreProperties>
</file>